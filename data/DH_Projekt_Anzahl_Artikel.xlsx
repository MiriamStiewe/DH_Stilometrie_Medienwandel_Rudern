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riam/Desktop/Uni/Digital Humanities/Projekt/"/>
    </mc:Choice>
  </mc:AlternateContent>
  <xr:revisionPtr revIDLastSave="0" documentId="13_ncr:1_{97E48B5E-E088-6B49-8EDD-E0E41AC043C2}" xr6:coauthVersionLast="47" xr6:coauthVersionMax="47" xr10:uidLastSave="{00000000-0000-0000-0000-000000000000}"/>
  <bookViews>
    <workbookView xWindow="0" yWindow="660" windowWidth="29400" windowHeight="18460" activeTab="1" xr2:uid="{3FA68E75-30F6-EE46-95B1-D0E95877E3E3}"/>
  </bookViews>
  <sheets>
    <sheet name="Anzahl_Artikel" sheetId="1" r:id="rId1"/>
    <sheet name="Anzahl_Woer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3" i="1" l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4" i="1"/>
  <c r="L46" i="1"/>
  <c r="L12" i="1"/>
  <c r="L32" i="1"/>
  <c r="L47" i="1"/>
  <c r="L48" i="1"/>
  <c r="L49" i="1"/>
  <c r="L33" i="1"/>
  <c r="L34" i="1"/>
  <c r="L9" i="1"/>
  <c r="L23" i="1"/>
  <c r="L4" i="1"/>
  <c r="L17" i="1"/>
  <c r="L52" i="1"/>
  <c r="L53" i="1"/>
  <c r="L25" i="1"/>
  <c r="L6" i="1"/>
  <c r="L54" i="1"/>
  <c r="L14" i="1"/>
  <c r="L26" i="1"/>
  <c r="L59" i="1"/>
  <c r="L60" i="1"/>
  <c r="L62" i="1"/>
  <c r="L39" i="1"/>
  <c r="L63" i="1"/>
  <c r="L15" i="1"/>
  <c r="L40" i="1"/>
  <c r="L16" i="1"/>
  <c r="L7" i="1"/>
  <c r="L66" i="1"/>
  <c r="L67" i="1"/>
  <c r="L69" i="1"/>
  <c r="L19" i="1"/>
  <c r="L20" i="1"/>
  <c r="L72" i="1"/>
  <c r="L28" i="1"/>
  <c r="L29" i="1"/>
  <c r="L74" i="1"/>
  <c r="L11" i="1"/>
  <c r="L30" i="1"/>
  <c r="L21" i="1"/>
  <c r="L8" i="1"/>
  <c r="L45" i="1"/>
  <c r="L5" i="1"/>
  <c r="L22" i="1"/>
  <c r="L41" i="1"/>
  <c r="L27" i="1"/>
  <c r="L10" i="1"/>
  <c r="K10" i="1" s="1"/>
  <c r="L37" i="1"/>
  <c r="L44" i="1"/>
  <c r="L51" i="1"/>
  <c r="L57" i="1"/>
  <c r="L24" i="1"/>
  <c r="L13" i="1"/>
  <c r="L73" i="1"/>
  <c r="L18" i="1"/>
  <c r="K18" i="1" s="1"/>
  <c r="L78" i="1"/>
  <c r="K78" i="1" s="1"/>
  <c r="L58" i="1"/>
  <c r="L80" i="1"/>
  <c r="K80" i="1" s="1"/>
  <c r="L77" i="1"/>
  <c r="K77" i="1" s="1"/>
  <c r="L56" i="1"/>
  <c r="L75" i="1"/>
  <c r="K75" i="1" s="1"/>
  <c r="L38" i="1"/>
  <c r="L35" i="1"/>
  <c r="L36" i="1"/>
  <c r="L68" i="1"/>
  <c r="K68" i="1" s="1"/>
  <c r="L65" i="1"/>
  <c r="L61" i="1"/>
  <c r="K61" i="1" s="1"/>
  <c r="L42" i="1"/>
  <c r="L71" i="1"/>
  <c r="L43" i="1"/>
  <c r="L81" i="1"/>
  <c r="K81" i="1" s="1"/>
  <c r="L76" i="1"/>
  <c r="L64" i="1"/>
  <c r="L55" i="1"/>
  <c r="L70" i="1"/>
  <c r="K70" i="1" s="1"/>
  <c r="L50" i="1"/>
  <c r="L79" i="1"/>
  <c r="K79" i="1" s="1"/>
  <c r="L31" i="1"/>
  <c r="L83" i="1" l="1"/>
  <c r="J83" i="1"/>
  <c r="K65" i="1"/>
  <c r="K27" i="1"/>
  <c r="K36" i="1"/>
  <c r="K49" i="1"/>
  <c r="K50" i="1"/>
  <c r="K57" i="1"/>
  <c r="K58" i="1"/>
  <c r="K55" i="1"/>
  <c r="K35" i="1"/>
  <c r="K38" i="1"/>
  <c r="K56" i="1"/>
  <c r="K71" i="1"/>
  <c r="K44" i="1"/>
  <c r="K42" i="1"/>
  <c r="K37" i="1"/>
  <c r="K76" i="1"/>
  <c r="K64" i="1"/>
  <c r="K41" i="1"/>
  <c r="K73" i="1"/>
  <c r="K43" i="1"/>
  <c r="K51" i="1"/>
  <c r="K13" i="1"/>
  <c r="K22" i="1"/>
  <c r="K24" i="1"/>
  <c r="K4" i="1"/>
  <c r="K30" i="1"/>
  <c r="K15" i="1"/>
  <c r="K9" i="1"/>
  <c r="K31" i="1"/>
  <c r="K48" i="1"/>
  <c r="K14" i="1"/>
  <c r="K72" i="1"/>
  <c r="K47" i="1"/>
  <c r="K40" i="1"/>
  <c r="K20" i="1"/>
  <c r="K6" i="1"/>
  <c r="K66" i="1"/>
  <c r="K26" i="1"/>
  <c r="K11" i="1"/>
  <c r="K32" i="1"/>
  <c r="K23" i="1"/>
  <c r="K12" i="1"/>
  <c r="K8" i="1"/>
  <c r="K46" i="1"/>
  <c r="K21" i="1"/>
  <c r="K59" i="1"/>
  <c r="K52" i="1"/>
  <c r="K28" i="1"/>
  <c r="K45" i="1"/>
  <c r="K62" i="1"/>
  <c r="K7" i="1"/>
  <c r="K60" i="1"/>
  <c r="K67" i="1"/>
  <c r="K69" i="1"/>
  <c r="K63" i="1"/>
  <c r="K25" i="1"/>
  <c r="K33" i="1"/>
  <c r="K74" i="1"/>
  <c r="K54" i="1"/>
  <c r="K53" i="1"/>
  <c r="K19" i="1"/>
  <c r="K29" i="1"/>
  <c r="K17" i="1"/>
  <c r="K16" i="1"/>
  <c r="K5" i="1"/>
  <c r="K39" i="1"/>
  <c r="K34" i="1"/>
</calcChain>
</file>

<file path=xl/sharedStrings.xml><?xml version="1.0" encoding="utf-8"?>
<sst xmlns="http://schemas.openxmlformats.org/spreadsheetml/2006/main" count="154" uniqueCount="102">
  <si>
    <t>Projektarbeit DH</t>
  </si>
  <si>
    <t>Miriam Stiewe</t>
  </si>
  <si>
    <t>Christian Schreiber</t>
  </si>
  <si>
    <t>Salma Abdeljawad</t>
  </si>
  <si>
    <t>Aris Titonis</t>
  </si>
  <si>
    <t>Marleen Philipp</t>
  </si>
  <si>
    <t>Jürgen Henze</t>
  </si>
  <si>
    <t>Richard Schreiber</t>
  </si>
  <si>
    <t>Toni Herrmann</t>
  </si>
  <si>
    <t>Elise Schäffer</t>
  </si>
  <si>
    <t>Stefan Ullrich</t>
  </si>
  <si>
    <t>Karolina Ulrich</t>
  </si>
  <si>
    <t>Simon Rosanke</t>
  </si>
  <si>
    <t>Alex Aderhold</t>
  </si>
  <si>
    <t>Charlotte Luster</t>
  </si>
  <si>
    <t>Anna Keller</t>
  </si>
  <si>
    <t>Peter Leinau</t>
  </si>
  <si>
    <t>Anton Keller</t>
  </si>
  <si>
    <t>Jan Kohlbach</t>
  </si>
  <si>
    <t>Patrick Nowack</t>
  </si>
  <si>
    <t>Elias Lukowiak</t>
  </si>
  <si>
    <t>Lea Schatz</t>
  </si>
  <si>
    <t>Philipp Naruhn</t>
  </si>
  <si>
    <t>Ulf Sauerbrey</t>
  </si>
  <si>
    <t>Chris Hajek</t>
  </si>
  <si>
    <t>Robert Hartmann</t>
  </si>
  <si>
    <t>Charlotte Glaubke</t>
  </si>
  <si>
    <t>Annabell Beccard</t>
  </si>
  <si>
    <t>Hannah Hellmund</t>
  </si>
  <si>
    <t>Niclas Brell</t>
  </si>
  <si>
    <t>Frank Köhler</t>
  </si>
  <si>
    <t>Lene Gossing</t>
  </si>
  <si>
    <t>Michelle Frauendorf</t>
  </si>
  <si>
    <t>Ben Baust</t>
  </si>
  <si>
    <t>Carolin Umlauf</t>
  </si>
  <si>
    <t>Frank Scholz</t>
  </si>
  <si>
    <t>Viola Heidacher</t>
  </si>
  <si>
    <t>René Beccard</t>
  </si>
  <si>
    <t>Nadja Eismann</t>
  </si>
  <si>
    <t>Karl Breuer</t>
  </si>
  <si>
    <t>Lothar Trawiel</t>
  </si>
  <si>
    <t>Alin Irincu</t>
  </si>
  <si>
    <t>Detlef Carell</t>
  </si>
  <si>
    <t>Erhard Günther</t>
  </si>
  <si>
    <t>Wolfgang Knörgen</t>
  </si>
  <si>
    <t>Carl Ertel</t>
  </si>
  <si>
    <t>MS</t>
  </si>
  <si>
    <t>Otto Körner</t>
  </si>
  <si>
    <t>Andreas Hajek</t>
  </si>
  <si>
    <t>Hans-Herwig Ritter</t>
  </si>
  <si>
    <t>Michael Schlüter</t>
  </si>
  <si>
    <t>SH</t>
  </si>
  <si>
    <t>Clemens Schlechter</t>
  </si>
  <si>
    <t>Julian Hase</t>
  </si>
  <si>
    <t>DK</t>
  </si>
  <si>
    <t>Christoph Hermsdorf</t>
  </si>
  <si>
    <t>RWS</t>
  </si>
  <si>
    <t>Lutz Beccard</t>
  </si>
  <si>
    <t>Tino Kolitscher</t>
  </si>
  <si>
    <t>Juliane Bosse</t>
  </si>
  <si>
    <t>Wolfgang Becker</t>
  </si>
  <si>
    <t>Thomas Eichner</t>
  </si>
  <si>
    <t>Hartmut Wetterling</t>
  </si>
  <si>
    <t>Sven Holtschke</t>
  </si>
  <si>
    <t>Julia Lier</t>
  </si>
  <si>
    <t>Florian Eichner</t>
  </si>
  <si>
    <t>Nicolas Schlüter</t>
  </si>
  <si>
    <t>Michael Fleischer</t>
  </si>
  <si>
    <t>Karl-Heinz Nagler</t>
  </si>
  <si>
    <t>Michaela Günther</t>
  </si>
  <si>
    <t>Peter Lingner</t>
  </si>
  <si>
    <t>Wulf Kubale</t>
  </si>
  <si>
    <t>T Bloß</t>
  </si>
  <si>
    <t>Lothar Hummel</t>
  </si>
  <si>
    <t>Hans-Dietrich Genscher</t>
  </si>
  <si>
    <t>Peter Büsching</t>
  </si>
  <si>
    <t>Bernd Lindner</t>
  </si>
  <si>
    <t>W Becker</t>
  </si>
  <si>
    <t>alle Online</t>
  </si>
  <si>
    <t>alle Print</t>
  </si>
  <si>
    <t>Gesamt</t>
  </si>
  <si>
    <t>Denis Sittel</t>
  </si>
  <si>
    <t>2025</t>
  </si>
  <si>
    <t>2024</t>
  </si>
  <si>
    <t>2023</t>
  </si>
  <si>
    <t>2022</t>
  </si>
  <si>
    <t>2021</t>
  </si>
  <si>
    <t>2020</t>
  </si>
  <si>
    <t>2019</t>
  </si>
  <si>
    <t>2018</t>
  </si>
  <si>
    <t>2014</t>
  </si>
  <si>
    <t>2013</t>
  </si>
  <si>
    <t>2012</t>
  </si>
  <si>
    <t>2011</t>
  </si>
  <si>
    <t>2010</t>
  </si>
  <si>
    <t>2009</t>
  </si>
  <si>
    <t>Autoren</t>
  </si>
  <si>
    <t>Autoren2</t>
  </si>
  <si>
    <t>Autor</t>
  </si>
  <si>
    <t>Anzahl Wörter Online</t>
  </si>
  <si>
    <t>Anzahl Wörter Print</t>
  </si>
  <si>
    <t>Gesamtkorpus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</si>
</sst>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1">
    <dxf>
      <numFmt numFmtId="164" formatCode="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71B678-A7E9-3044-8A21-AC6E4CA8797F}" name="Table2" displayName="Table2" ref="A3:S83" totalsRowShown="0" headerRowDxfId="0">
  <autoFilter ref="A3:S83" xr:uid="{2071B678-A7E9-3044-8A21-AC6E4CA8797F}"/>
  <tableColumns count="19">
    <tableColumn id="1" xr3:uid="{3D8DD56F-D6A5-8E45-BA5A-596E3DE8A265}" name="Autoren"/>
    <tableColumn id="2" xr3:uid="{9A127D2F-EEA5-B944-95C3-3F6CEFC3E1B2}" name="2025"/>
    <tableColumn id="3" xr3:uid="{4F391D59-8378-8945-95E9-791606F05D9E}" name="2024"/>
    <tableColumn id="4" xr3:uid="{1AA74953-21C8-514F-95C8-CBE96799FA16}" name="2023"/>
    <tableColumn id="5" xr3:uid="{2C95AE62-2FEC-7A43-9644-827BBD40ADDD}" name="2022"/>
    <tableColumn id="6" xr3:uid="{9F333980-789F-8947-94A1-1AF473D71052}" name="2021"/>
    <tableColumn id="7" xr3:uid="{F89951F0-6E97-074F-A668-62828FF966DA}" name="2020"/>
    <tableColumn id="8" xr3:uid="{1F48DF1E-3679-D941-8C88-DCD34154F0FF}" name="2019"/>
    <tableColumn id="9" xr3:uid="{F9F3AA60-96E9-0340-99DD-5F7CADF76376}" name="2018"/>
    <tableColumn id="10" xr3:uid="{9F7EB3D2-C270-4C47-A144-CB842F5143FA}" name="alle Online"/>
    <tableColumn id="11" xr3:uid="{F53E2C9D-0358-6243-8E2B-9DA5FFCF2314}" name="Gesamt">
      <calculatedColumnFormula>J4+L4</calculatedColumnFormula>
    </tableColumn>
    <tableColumn id="12" xr3:uid="{0CBAF619-CD80-5943-86EE-4C90DBD4D87E}" name="alle Print"/>
    <tableColumn id="13" xr3:uid="{0ACC16C9-3A37-D545-A77D-C4C62BB8B780}" name="Autoren2"/>
    <tableColumn id="14" xr3:uid="{8460B122-B445-E549-A18F-5F273A7F9270}" name="2014"/>
    <tableColumn id="15" xr3:uid="{4477272E-B5C4-8A43-8D7E-06EF08D4CAEE}" name="2013"/>
    <tableColumn id="16" xr3:uid="{45BE7BA6-2C66-C049-BDF9-6AA1C04D3AE3}" name="2012"/>
    <tableColumn id="17" xr3:uid="{D606023E-3657-8B4D-BB7F-A077321F1C91}" name="2011"/>
    <tableColumn id="18" xr3:uid="{69BB0D00-4B40-D243-A566-C19EED9F706C}" name="2010"/>
    <tableColumn id="19" xr3:uid="{607A2228-C4AC-0A43-BBED-C7AFB7A4C712}" name="2009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2F354F-A1F8-1D46-BF7A-B1AB75D83472}" name="Table3" displayName="Table3" ref="A3:C12" totalsRowShown="0">
  <autoFilter ref="A3:C12" xr:uid="{BD2F354F-A1F8-1D46-BF7A-B1AB75D83472}"/>
  <tableColumns count="3">
    <tableColumn id="1" xr3:uid="{BDBD1190-D7A8-E94E-A5CF-47F05CDDB9E0}" name="Autor"/>
    <tableColumn id="2" xr3:uid="{90E85452-66B2-B54B-AC82-CEB56F29ABAF}" name="Anzahl Wörter Online"/>
    <tableColumn id="3" xr3:uid="{8B67B45A-3B78-6243-8198-E6683F02F1A7}" name="Anzahl Wörter Print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70B2C-E8DD-A243-8723-931E69874E1B}">
  <dimension ref="A1:S83"/>
  <sheetViews>
    <sheetView zoomScale="74" workbookViewId="0">
      <selection activeCell="T8" sqref="T8"/>
    </sheetView>
  </sheetViews>
  <sheetFormatPr baseColWidth="10" defaultRowHeight="16" x14ac:dyDescent="0.2"/>
  <cols>
    <col min="1" max="1" width="17.83203125" customWidth="1"/>
    <col min="10" max="10" width="12.1640625" customWidth="1"/>
    <col min="13" max="13" width="20.6640625" customWidth="1"/>
  </cols>
  <sheetData>
    <row r="1" spans="1:19" x14ac:dyDescent="0.2">
      <c r="A1" t="s">
        <v>0</v>
      </c>
    </row>
    <row r="3" spans="1:19" x14ac:dyDescent="0.2">
      <c r="A3" t="s">
        <v>96</v>
      </c>
      <c r="B3" t="s">
        <v>82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  <c r="H3" t="s">
        <v>88</v>
      </c>
      <c r="I3" t="s">
        <v>89</v>
      </c>
      <c r="J3" t="s">
        <v>78</v>
      </c>
      <c r="K3" t="s">
        <v>80</v>
      </c>
      <c r="L3" t="s">
        <v>79</v>
      </c>
      <c r="M3" t="s">
        <v>97</v>
      </c>
      <c r="N3" s="1" t="s">
        <v>90</v>
      </c>
      <c r="O3" s="1" t="s">
        <v>91</v>
      </c>
      <c r="P3" s="1" t="s">
        <v>92</v>
      </c>
      <c r="Q3" s="1" t="s">
        <v>93</v>
      </c>
      <c r="R3" s="1" t="s">
        <v>94</v>
      </c>
      <c r="S3" s="1" t="s">
        <v>95</v>
      </c>
    </row>
    <row r="4" spans="1:19" x14ac:dyDescent="0.2">
      <c r="A4" t="s">
        <v>2</v>
      </c>
      <c r="B4">
        <v>7</v>
      </c>
      <c r="C4">
        <v>15</v>
      </c>
      <c r="D4">
        <v>3</v>
      </c>
      <c r="J4">
        <f t="shared" ref="J4:J35" si="0">B4+C4+D4+E4+F4+G4+H4+I4</f>
        <v>25</v>
      </c>
      <c r="K4">
        <f t="shared" ref="K4:K35" si="1">J4+L4</f>
        <v>26</v>
      </c>
      <c r="L4">
        <f t="shared" ref="L4:L35" si="2">N4+O4+P4+Q4+R4+S4</f>
        <v>1</v>
      </c>
      <c r="M4" t="s">
        <v>2</v>
      </c>
      <c r="Q4">
        <v>1</v>
      </c>
    </row>
    <row r="5" spans="1:19" x14ac:dyDescent="0.2">
      <c r="A5" t="s">
        <v>44</v>
      </c>
      <c r="G5">
        <v>1</v>
      </c>
      <c r="J5">
        <f t="shared" si="0"/>
        <v>1</v>
      </c>
      <c r="K5">
        <f t="shared" si="1"/>
        <v>15</v>
      </c>
      <c r="L5">
        <f t="shared" si="2"/>
        <v>14</v>
      </c>
      <c r="M5" t="s">
        <v>44</v>
      </c>
      <c r="O5">
        <v>2</v>
      </c>
      <c r="P5">
        <v>2</v>
      </c>
      <c r="Q5">
        <v>5</v>
      </c>
      <c r="R5">
        <v>3</v>
      </c>
      <c r="S5">
        <v>2</v>
      </c>
    </row>
    <row r="6" spans="1:19" x14ac:dyDescent="0.2">
      <c r="A6" t="s">
        <v>30</v>
      </c>
      <c r="C6">
        <v>1</v>
      </c>
      <c r="D6">
        <v>3</v>
      </c>
      <c r="E6">
        <v>2</v>
      </c>
      <c r="F6">
        <v>3</v>
      </c>
      <c r="G6">
        <v>1</v>
      </c>
      <c r="J6">
        <f t="shared" si="0"/>
        <v>10</v>
      </c>
      <c r="K6">
        <f t="shared" si="1"/>
        <v>13</v>
      </c>
      <c r="L6">
        <f t="shared" si="2"/>
        <v>3</v>
      </c>
      <c r="M6" t="s">
        <v>30</v>
      </c>
      <c r="P6">
        <v>1</v>
      </c>
      <c r="Q6">
        <v>1</v>
      </c>
      <c r="S6">
        <v>1</v>
      </c>
    </row>
    <row r="7" spans="1:19" x14ac:dyDescent="0.2">
      <c r="A7" t="s">
        <v>1</v>
      </c>
      <c r="B7">
        <v>6</v>
      </c>
      <c r="C7">
        <v>4</v>
      </c>
      <c r="J7">
        <f t="shared" si="0"/>
        <v>10</v>
      </c>
      <c r="K7">
        <f t="shared" si="1"/>
        <v>10</v>
      </c>
      <c r="L7">
        <f t="shared" si="2"/>
        <v>0</v>
      </c>
      <c r="M7" t="s">
        <v>1</v>
      </c>
    </row>
    <row r="8" spans="1:19" x14ac:dyDescent="0.2">
      <c r="A8" t="s">
        <v>23</v>
      </c>
      <c r="C8">
        <v>1</v>
      </c>
      <c r="H8">
        <v>1</v>
      </c>
      <c r="I8">
        <v>1</v>
      </c>
      <c r="J8">
        <f t="shared" si="0"/>
        <v>3</v>
      </c>
      <c r="K8">
        <f t="shared" si="1"/>
        <v>11</v>
      </c>
      <c r="L8">
        <f t="shared" si="2"/>
        <v>8</v>
      </c>
      <c r="M8" t="s">
        <v>23</v>
      </c>
      <c r="O8">
        <v>2</v>
      </c>
      <c r="P8">
        <v>2</v>
      </c>
      <c r="Q8">
        <v>2</v>
      </c>
      <c r="R8">
        <v>1</v>
      </c>
      <c r="S8">
        <v>1</v>
      </c>
    </row>
    <row r="9" spans="1:19" x14ac:dyDescent="0.2">
      <c r="A9" t="s">
        <v>14</v>
      </c>
      <c r="B9">
        <v>1</v>
      </c>
      <c r="C9">
        <v>3</v>
      </c>
      <c r="D9">
        <v>4</v>
      </c>
      <c r="E9">
        <v>2</v>
      </c>
      <c r="J9">
        <f t="shared" si="0"/>
        <v>10</v>
      </c>
      <c r="K9">
        <f t="shared" si="1"/>
        <v>10</v>
      </c>
      <c r="L9">
        <f t="shared" si="2"/>
        <v>0</v>
      </c>
      <c r="M9" t="s">
        <v>14</v>
      </c>
    </row>
    <row r="10" spans="1:19" x14ac:dyDescent="0.2">
      <c r="J10">
        <f t="shared" si="0"/>
        <v>0</v>
      </c>
      <c r="K10">
        <f t="shared" si="1"/>
        <v>8</v>
      </c>
      <c r="L10">
        <f t="shared" si="2"/>
        <v>8</v>
      </c>
      <c r="M10" t="s">
        <v>48</v>
      </c>
      <c r="O10">
        <v>1</v>
      </c>
      <c r="P10">
        <v>1</v>
      </c>
      <c r="Q10">
        <v>1</v>
      </c>
      <c r="R10">
        <v>2</v>
      </c>
      <c r="S10">
        <v>3</v>
      </c>
    </row>
    <row r="11" spans="1:19" x14ac:dyDescent="0.2">
      <c r="A11" t="s">
        <v>12</v>
      </c>
      <c r="B11">
        <v>5</v>
      </c>
      <c r="C11">
        <v>2</v>
      </c>
      <c r="J11">
        <f t="shared" si="0"/>
        <v>7</v>
      </c>
      <c r="K11">
        <f t="shared" si="1"/>
        <v>7</v>
      </c>
      <c r="L11">
        <f t="shared" si="2"/>
        <v>0</v>
      </c>
      <c r="M11" t="s">
        <v>12</v>
      </c>
    </row>
    <row r="12" spans="1:19" x14ac:dyDescent="0.2">
      <c r="A12" t="s">
        <v>15</v>
      </c>
      <c r="B12">
        <v>3</v>
      </c>
      <c r="C12">
        <v>3</v>
      </c>
      <c r="J12">
        <f t="shared" si="0"/>
        <v>6</v>
      </c>
      <c r="K12">
        <f t="shared" si="1"/>
        <v>6</v>
      </c>
      <c r="L12">
        <f t="shared" si="2"/>
        <v>0</v>
      </c>
      <c r="M12" t="s">
        <v>15</v>
      </c>
    </row>
    <row r="13" spans="1:19" x14ac:dyDescent="0.2">
      <c r="J13">
        <f t="shared" si="0"/>
        <v>0</v>
      </c>
      <c r="K13">
        <f t="shared" si="1"/>
        <v>6</v>
      </c>
      <c r="L13">
        <f t="shared" si="2"/>
        <v>6</v>
      </c>
      <c r="M13" t="s">
        <v>55</v>
      </c>
      <c r="P13">
        <v>2</v>
      </c>
      <c r="R13">
        <v>4</v>
      </c>
    </row>
    <row r="14" spans="1:19" x14ac:dyDescent="0.2">
      <c r="A14" t="s">
        <v>28</v>
      </c>
      <c r="C14">
        <v>2</v>
      </c>
      <c r="D14">
        <v>2</v>
      </c>
      <c r="E14">
        <v>2</v>
      </c>
      <c r="J14">
        <f t="shared" si="0"/>
        <v>6</v>
      </c>
      <c r="K14">
        <f t="shared" si="1"/>
        <v>6</v>
      </c>
      <c r="L14">
        <f t="shared" si="2"/>
        <v>0</v>
      </c>
      <c r="M14" t="s">
        <v>28</v>
      </c>
    </row>
    <row r="15" spans="1:19" x14ac:dyDescent="0.2">
      <c r="A15" t="s">
        <v>40</v>
      </c>
      <c r="E15">
        <v>1</v>
      </c>
      <c r="F15">
        <v>2</v>
      </c>
      <c r="G15">
        <v>3</v>
      </c>
      <c r="J15">
        <f t="shared" si="0"/>
        <v>6</v>
      </c>
      <c r="K15">
        <f t="shared" si="1"/>
        <v>6</v>
      </c>
      <c r="L15">
        <f t="shared" si="2"/>
        <v>0</v>
      </c>
      <c r="M15" t="s">
        <v>40</v>
      </c>
    </row>
    <row r="16" spans="1:19" x14ac:dyDescent="0.2">
      <c r="A16" t="s">
        <v>32</v>
      </c>
      <c r="D16">
        <v>1</v>
      </c>
      <c r="E16">
        <v>2</v>
      </c>
      <c r="F16">
        <v>3</v>
      </c>
      <c r="J16">
        <f t="shared" si="0"/>
        <v>6</v>
      </c>
      <c r="K16">
        <f t="shared" si="1"/>
        <v>6</v>
      </c>
      <c r="L16">
        <f t="shared" si="2"/>
        <v>0</v>
      </c>
      <c r="M16" t="s">
        <v>32</v>
      </c>
    </row>
    <row r="17" spans="1:19" x14ac:dyDescent="0.2">
      <c r="A17" t="s">
        <v>42</v>
      </c>
      <c r="E17">
        <v>1</v>
      </c>
      <c r="J17">
        <f t="shared" si="0"/>
        <v>1</v>
      </c>
      <c r="K17">
        <f t="shared" si="1"/>
        <v>5</v>
      </c>
      <c r="L17">
        <f t="shared" si="2"/>
        <v>4</v>
      </c>
      <c r="M17" t="s">
        <v>42</v>
      </c>
      <c r="N17">
        <v>2</v>
      </c>
      <c r="P17">
        <v>1</v>
      </c>
      <c r="R17">
        <v>1</v>
      </c>
    </row>
    <row r="18" spans="1:19" x14ac:dyDescent="0.2">
      <c r="J18">
        <f t="shared" si="0"/>
        <v>0</v>
      </c>
      <c r="K18">
        <f t="shared" si="1"/>
        <v>4</v>
      </c>
      <c r="L18">
        <f t="shared" si="2"/>
        <v>4</v>
      </c>
      <c r="M18" t="s">
        <v>57</v>
      </c>
      <c r="P18">
        <v>2</v>
      </c>
      <c r="Q18">
        <v>2</v>
      </c>
    </row>
    <row r="19" spans="1:19" x14ac:dyDescent="0.2">
      <c r="A19" t="s">
        <v>16</v>
      </c>
      <c r="F19">
        <v>3</v>
      </c>
      <c r="J19">
        <f t="shared" si="0"/>
        <v>3</v>
      </c>
      <c r="K19">
        <f t="shared" si="1"/>
        <v>4</v>
      </c>
      <c r="L19">
        <f t="shared" si="2"/>
        <v>1</v>
      </c>
      <c r="M19" t="s">
        <v>16</v>
      </c>
      <c r="P19">
        <v>1</v>
      </c>
    </row>
    <row r="20" spans="1:19" x14ac:dyDescent="0.2">
      <c r="A20" t="s">
        <v>22</v>
      </c>
      <c r="C20">
        <v>2</v>
      </c>
      <c r="J20">
        <f t="shared" si="0"/>
        <v>2</v>
      </c>
      <c r="K20">
        <f t="shared" si="1"/>
        <v>4</v>
      </c>
      <c r="L20">
        <f t="shared" si="2"/>
        <v>2</v>
      </c>
      <c r="M20" t="s">
        <v>22</v>
      </c>
      <c r="P20">
        <v>1</v>
      </c>
      <c r="Q20">
        <v>1</v>
      </c>
    </row>
    <row r="21" spans="1:19" x14ac:dyDescent="0.2">
      <c r="A21" t="s">
        <v>8</v>
      </c>
      <c r="B21">
        <v>2</v>
      </c>
      <c r="C21">
        <v>1</v>
      </c>
      <c r="D21">
        <v>1</v>
      </c>
      <c r="J21">
        <f t="shared" si="0"/>
        <v>4</v>
      </c>
      <c r="K21">
        <f t="shared" si="1"/>
        <v>4</v>
      </c>
      <c r="L21">
        <f t="shared" si="2"/>
        <v>0</v>
      </c>
      <c r="M21" t="s">
        <v>8</v>
      </c>
    </row>
    <row r="22" spans="1:19" x14ac:dyDescent="0.2">
      <c r="J22">
        <f t="shared" si="0"/>
        <v>0</v>
      </c>
      <c r="K22">
        <f t="shared" si="1"/>
        <v>3</v>
      </c>
      <c r="L22">
        <f t="shared" si="2"/>
        <v>3</v>
      </c>
      <c r="M22" t="s">
        <v>45</v>
      </c>
      <c r="O22">
        <v>1</v>
      </c>
      <c r="P22">
        <v>1</v>
      </c>
      <c r="S22">
        <v>1</v>
      </c>
    </row>
    <row r="23" spans="1:19" x14ac:dyDescent="0.2">
      <c r="A23" t="s">
        <v>24</v>
      </c>
      <c r="C23">
        <v>1</v>
      </c>
      <c r="E23">
        <v>1</v>
      </c>
      <c r="F23">
        <v>1</v>
      </c>
      <c r="J23">
        <f t="shared" si="0"/>
        <v>3</v>
      </c>
      <c r="K23">
        <f t="shared" si="1"/>
        <v>3</v>
      </c>
      <c r="L23">
        <f t="shared" si="2"/>
        <v>0</v>
      </c>
      <c r="M23" t="s">
        <v>24</v>
      </c>
    </row>
    <row r="24" spans="1:19" x14ac:dyDescent="0.2">
      <c r="J24">
        <f t="shared" si="0"/>
        <v>0</v>
      </c>
      <c r="K24">
        <f t="shared" si="1"/>
        <v>3</v>
      </c>
      <c r="L24">
        <f t="shared" si="2"/>
        <v>3</v>
      </c>
      <c r="M24" t="s">
        <v>54</v>
      </c>
      <c r="O24">
        <v>2</v>
      </c>
      <c r="P24">
        <v>1</v>
      </c>
    </row>
    <row r="25" spans="1:19" x14ac:dyDescent="0.2">
      <c r="A25" t="s">
        <v>43</v>
      </c>
      <c r="F25">
        <v>1</v>
      </c>
      <c r="G25">
        <v>2</v>
      </c>
      <c r="J25">
        <f t="shared" si="0"/>
        <v>3</v>
      </c>
      <c r="K25">
        <f t="shared" si="1"/>
        <v>3</v>
      </c>
      <c r="L25">
        <f t="shared" si="2"/>
        <v>0</v>
      </c>
      <c r="M25" t="s">
        <v>43</v>
      </c>
    </row>
    <row r="26" spans="1:19" x14ac:dyDescent="0.2">
      <c r="A26" t="s">
        <v>18</v>
      </c>
      <c r="B26">
        <v>1</v>
      </c>
      <c r="C26">
        <v>1</v>
      </c>
      <c r="D26">
        <v>1</v>
      </c>
      <c r="J26">
        <f t="shared" si="0"/>
        <v>3</v>
      </c>
      <c r="K26">
        <f t="shared" si="1"/>
        <v>3</v>
      </c>
      <c r="L26">
        <f t="shared" si="2"/>
        <v>0</v>
      </c>
      <c r="M26" t="s">
        <v>18</v>
      </c>
    </row>
    <row r="27" spans="1:19" x14ac:dyDescent="0.2">
      <c r="J27">
        <f t="shared" si="0"/>
        <v>0</v>
      </c>
      <c r="K27">
        <f t="shared" si="1"/>
        <v>3</v>
      </c>
      <c r="L27">
        <f t="shared" si="2"/>
        <v>3</v>
      </c>
      <c r="M27" t="s">
        <v>47</v>
      </c>
      <c r="O27">
        <v>1</v>
      </c>
      <c r="Q27">
        <v>2</v>
      </c>
    </row>
    <row r="28" spans="1:19" x14ac:dyDescent="0.2">
      <c r="A28" t="s">
        <v>7</v>
      </c>
      <c r="B28">
        <v>1</v>
      </c>
      <c r="C28">
        <v>2</v>
      </c>
      <c r="J28">
        <f t="shared" si="0"/>
        <v>3</v>
      </c>
      <c r="K28">
        <f t="shared" si="1"/>
        <v>3</v>
      </c>
      <c r="L28">
        <f t="shared" si="2"/>
        <v>0</v>
      </c>
      <c r="M28" t="s">
        <v>7</v>
      </c>
    </row>
    <row r="29" spans="1:19" x14ac:dyDescent="0.2">
      <c r="A29" t="s">
        <v>25</v>
      </c>
      <c r="C29">
        <v>1</v>
      </c>
      <c r="J29">
        <f t="shared" si="0"/>
        <v>1</v>
      </c>
      <c r="K29">
        <f t="shared" si="1"/>
        <v>3</v>
      </c>
      <c r="L29">
        <f t="shared" si="2"/>
        <v>2</v>
      </c>
      <c r="M29" t="s">
        <v>25</v>
      </c>
      <c r="S29">
        <v>2</v>
      </c>
    </row>
    <row r="30" spans="1:19" x14ac:dyDescent="0.2">
      <c r="A30" t="s">
        <v>10</v>
      </c>
      <c r="B30">
        <v>2</v>
      </c>
      <c r="C30">
        <v>1</v>
      </c>
      <c r="J30">
        <f t="shared" si="0"/>
        <v>3</v>
      </c>
      <c r="K30">
        <f t="shared" si="1"/>
        <v>3</v>
      </c>
      <c r="L30">
        <f t="shared" si="2"/>
        <v>0</v>
      </c>
      <c r="M30" t="s">
        <v>10</v>
      </c>
    </row>
    <row r="31" spans="1:19" x14ac:dyDescent="0.2">
      <c r="A31" t="s">
        <v>13</v>
      </c>
      <c r="B31">
        <v>1</v>
      </c>
      <c r="D31">
        <v>1</v>
      </c>
      <c r="J31">
        <f t="shared" si="0"/>
        <v>2</v>
      </c>
      <c r="K31">
        <f t="shared" si="1"/>
        <v>2</v>
      </c>
      <c r="L31">
        <f t="shared" si="2"/>
        <v>0</v>
      </c>
      <c r="M31" t="s">
        <v>13</v>
      </c>
    </row>
    <row r="32" spans="1:19" x14ac:dyDescent="0.2">
      <c r="A32" t="s">
        <v>27</v>
      </c>
      <c r="C32">
        <v>1</v>
      </c>
      <c r="D32">
        <v>1</v>
      </c>
      <c r="J32">
        <f t="shared" si="0"/>
        <v>2</v>
      </c>
      <c r="K32">
        <f t="shared" si="1"/>
        <v>2</v>
      </c>
      <c r="L32">
        <f t="shared" si="2"/>
        <v>0</v>
      </c>
      <c r="M32" t="s">
        <v>27</v>
      </c>
    </row>
    <row r="33" spans="1:19" x14ac:dyDescent="0.2">
      <c r="A33" t="s">
        <v>34</v>
      </c>
      <c r="D33">
        <v>2</v>
      </c>
      <c r="J33">
        <f t="shared" si="0"/>
        <v>2</v>
      </c>
      <c r="K33">
        <f t="shared" si="1"/>
        <v>2</v>
      </c>
      <c r="L33">
        <f t="shared" si="2"/>
        <v>0</v>
      </c>
      <c r="M33" t="s">
        <v>34</v>
      </c>
    </row>
    <row r="34" spans="1:19" x14ac:dyDescent="0.2">
      <c r="A34" t="s">
        <v>26</v>
      </c>
      <c r="C34">
        <v>1</v>
      </c>
      <c r="D34">
        <v>1</v>
      </c>
      <c r="J34">
        <f t="shared" si="0"/>
        <v>2</v>
      </c>
      <c r="K34">
        <f t="shared" si="1"/>
        <v>2</v>
      </c>
      <c r="L34">
        <f t="shared" si="2"/>
        <v>0</v>
      </c>
      <c r="M34" t="s">
        <v>26</v>
      </c>
    </row>
    <row r="35" spans="1:19" x14ac:dyDescent="0.2">
      <c r="J35">
        <f t="shared" si="0"/>
        <v>0</v>
      </c>
      <c r="K35">
        <f t="shared" si="1"/>
        <v>2</v>
      </c>
      <c r="L35">
        <f t="shared" si="2"/>
        <v>2</v>
      </c>
      <c r="M35" t="s">
        <v>81</v>
      </c>
      <c r="Q35">
        <v>1</v>
      </c>
      <c r="R35">
        <v>1</v>
      </c>
    </row>
    <row r="36" spans="1:19" x14ac:dyDescent="0.2">
      <c r="J36">
        <f t="shared" ref="J36:J67" si="3">B36+C36+D36+E36+F36+G36+H36+I36</f>
        <v>0</v>
      </c>
      <c r="K36">
        <f t="shared" ref="K36:K67" si="4">J36+L36</f>
        <v>2</v>
      </c>
      <c r="L36">
        <f t="shared" ref="L36:L67" si="5">N36+O36+P36+Q36+R36+S36</f>
        <v>2</v>
      </c>
      <c r="M36" t="s">
        <v>65</v>
      </c>
      <c r="Q36">
        <v>1</v>
      </c>
      <c r="S36">
        <v>1</v>
      </c>
    </row>
    <row r="37" spans="1:19" x14ac:dyDescent="0.2">
      <c r="J37">
        <f t="shared" si="3"/>
        <v>0</v>
      </c>
      <c r="K37">
        <f t="shared" si="4"/>
        <v>2</v>
      </c>
      <c r="L37">
        <f t="shared" si="5"/>
        <v>2</v>
      </c>
      <c r="M37" t="s">
        <v>49</v>
      </c>
      <c r="O37">
        <v>2</v>
      </c>
    </row>
    <row r="38" spans="1:19" x14ac:dyDescent="0.2">
      <c r="J38">
        <f t="shared" si="3"/>
        <v>0</v>
      </c>
      <c r="K38">
        <f t="shared" si="4"/>
        <v>2</v>
      </c>
      <c r="L38">
        <f t="shared" si="5"/>
        <v>2</v>
      </c>
      <c r="M38" t="s">
        <v>64</v>
      </c>
      <c r="Q38">
        <v>1</v>
      </c>
      <c r="S38">
        <v>1</v>
      </c>
    </row>
    <row r="39" spans="1:19" x14ac:dyDescent="0.2">
      <c r="A39" t="s">
        <v>21</v>
      </c>
      <c r="C39">
        <v>2</v>
      </c>
      <c r="J39">
        <f t="shared" si="3"/>
        <v>2</v>
      </c>
      <c r="K39">
        <f t="shared" si="4"/>
        <v>2</v>
      </c>
      <c r="L39">
        <f t="shared" si="5"/>
        <v>0</v>
      </c>
      <c r="M39" t="s">
        <v>21</v>
      </c>
    </row>
    <row r="40" spans="1:19" x14ac:dyDescent="0.2">
      <c r="A40" t="s">
        <v>5</v>
      </c>
      <c r="B40">
        <v>2</v>
      </c>
      <c r="J40">
        <f t="shared" si="3"/>
        <v>2</v>
      </c>
      <c r="K40">
        <f t="shared" si="4"/>
        <v>2</v>
      </c>
      <c r="L40">
        <f t="shared" si="5"/>
        <v>0</v>
      </c>
      <c r="M40" t="s">
        <v>5</v>
      </c>
    </row>
    <row r="41" spans="1:19" x14ac:dyDescent="0.2">
      <c r="J41">
        <f t="shared" si="3"/>
        <v>0</v>
      </c>
      <c r="K41">
        <f t="shared" si="4"/>
        <v>2</v>
      </c>
      <c r="L41">
        <f t="shared" si="5"/>
        <v>2</v>
      </c>
      <c r="M41" t="s">
        <v>50</v>
      </c>
      <c r="O41">
        <v>1</v>
      </c>
      <c r="P41">
        <v>1</v>
      </c>
    </row>
    <row r="42" spans="1:19" x14ac:dyDescent="0.2">
      <c r="J42">
        <f t="shared" si="3"/>
        <v>0</v>
      </c>
      <c r="K42">
        <f t="shared" si="4"/>
        <v>2</v>
      </c>
      <c r="L42">
        <f t="shared" si="5"/>
        <v>2</v>
      </c>
      <c r="M42" t="s">
        <v>69</v>
      </c>
      <c r="R42">
        <v>2</v>
      </c>
    </row>
    <row r="43" spans="1:19" x14ac:dyDescent="0.2">
      <c r="J43">
        <f t="shared" si="3"/>
        <v>0</v>
      </c>
      <c r="K43">
        <f t="shared" si="4"/>
        <v>2</v>
      </c>
      <c r="L43">
        <f t="shared" si="5"/>
        <v>2</v>
      </c>
      <c r="M43" t="s">
        <v>46</v>
      </c>
      <c r="O43">
        <v>1</v>
      </c>
      <c r="P43">
        <v>1</v>
      </c>
    </row>
    <row r="44" spans="1:19" x14ac:dyDescent="0.2">
      <c r="J44">
        <f t="shared" si="3"/>
        <v>0</v>
      </c>
      <c r="K44">
        <f t="shared" si="4"/>
        <v>2</v>
      </c>
      <c r="L44">
        <f t="shared" si="5"/>
        <v>2</v>
      </c>
      <c r="M44" t="s">
        <v>51</v>
      </c>
      <c r="O44">
        <v>1</v>
      </c>
      <c r="S44">
        <v>1</v>
      </c>
    </row>
    <row r="45" spans="1:19" x14ac:dyDescent="0.2">
      <c r="A45" t="s">
        <v>36</v>
      </c>
      <c r="D45">
        <v>1</v>
      </c>
      <c r="F45">
        <v>1</v>
      </c>
      <c r="J45">
        <f t="shared" si="3"/>
        <v>2</v>
      </c>
      <c r="K45">
        <f t="shared" si="4"/>
        <v>2</v>
      </c>
      <c r="L45">
        <f t="shared" si="5"/>
        <v>0</v>
      </c>
      <c r="M45" t="s">
        <v>36</v>
      </c>
    </row>
    <row r="46" spans="1:19" x14ac:dyDescent="0.2">
      <c r="A46" t="s">
        <v>41</v>
      </c>
      <c r="E46">
        <v>1</v>
      </c>
      <c r="J46">
        <f t="shared" si="3"/>
        <v>1</v>
      </c>
      <c r="K46">
        <f t="shared" si="4"/>
        <v>1</v>
      </c>
      <c r="L46">
        <f t="shared" si="5"/>
        <v>0</v>
      </c>
      <c r="M46" t="s">
        <v>41</v>
      </c>
    </row>
    <row r="47" spans="1:19" x14ac:dyDescent="0.2">
      <c r="A47" t="s">
        <v>17</v>
      </c>
      <c r="B47">
        <v>1</v>
      </c>
      <c r="J47">
        <f t="shared" si="3"/>
        <v>1</v>
      </c>
      <c r="K47">
        <f t="shared" si="4"/>
        <v>1</v>
      </c>
      <c r="L47">
        <f t="shared" si="5"/>
        <v>0</v>
      </c>
      <c r="M47" t="s">
        <v>17</v>
      </c>
    </row>
    <row r="48" spans="1:19" x14ac:dyDescent="0.2">
      <c r="A48" t="s">
        <v>4</v>
      </c>
      <c r="B48">
        <v>1</v>
      </c>
      <c r="J48">
        <f t="shared" si="3"/>
        <v>1</v>
      </c>
      <c r="K48">
        <f t="shared" si="4"/>
        <v>1</v>
      </c>
      <c r="L48">
        <f t="shared" si="5"/>
        <v>0</v>
      </c>
      <c r="M48" t="s">
        <v>4</v>
      </c>
    </row>
    <row r="49" spans="1:19" x14ac:dyDescent="0.2">
      <c r="A49" t="s">
        <v>33</v>
      </c>
      <c r="D49">
        <v>1</v>
      </c>
      <c r="J49">
        <f t="shared" si="3"/>
        <v>1</v>
      </c>
      <c r="K49">
        <f t="shared" si="4"/>
        <v>1</v>
      </c>
      <c r="L49">
        <f t="shared" si="5"/>
        <v>0</v>
      </c>
      <c r="M49" t="s">
        <v>33</v>
      </c>
    </row>
    <row r="50" spans="1:19" x14ac:dyDescent="0.2">
      <c r="J50">
        <f t="shared" si="3"/>
        <v>0</v>
      </c>
      <c r="K50">
        <f t="shared" si="4"/>
        <v>1</v>
      </c>
      <c r="L50">
        <f t="shared" si="5"/>
        <v>1</v>
      </c>
      <c r="M50" t="s">
        <v>76</v>
      </c>
      <c r="S50">
        <v>1</v>
      </c>
    </row>
    <row r="51" spans="1:19" x14ac:dyDescent="0.2">
      <c r="J51">
        <f t="shared" si="3"/>
        <v>0</v>
      </c>
      <c r="K51">
        <f t="shared" si="4"/>
        <v>1</v>
      </c>
      <c r="L51">
        <f t="shared" si="5"/>
        <v>1</v>
      </c>
      <c r="M51" t="s">
        <v>52</v>
      </c>
      <c r="O51">
        <v>1</v>
      </c>
    </row>
    <row r="52" spans="1:19" x14ac:dyDescent="0.2">
      <c r="A52" t="s">
        <v>20</v>
      </c>
      <c r="B52">
        <v>1</v>
      </c>
      <c r="J52">
        <f t="shared" si="3"/>
        <v>1</v>
      </c>
      <c r="K52">
        <f t="shared" si="4"/>
        <v>1</v>
      </c>
      <c r="L52">
        <f t="shared" si="5"/>
        <v>0</v>
      </c>
      <c r="M52" t="s">
        <v>20</v>
      </c>
    </row>
    <row r="53" spans="1:19" x14ac:dyDescent="0.2">
      <c r="A53" t="s">
        <v>9</v>
      </c>
      <c r="B53">
        <v>1</v>
      </c>
      <c r="J53">
        <f t="shared" si="3"/>
        <v>1</v>
      </c>
      <c r="K53">
        <f t="shared" si="4"/>
        <v>1</v>
      </c>
      <c r="L53">
        <f t="shared" si="5"/>
        <v>0</v>
      </c>
      <c r="M53" t="s">
        <v>9</v>
      </c>
    </row>
    <row r="54" spans="1:19" x14ac:dyDescent="0.2">
      <c r="A54" t="s">
        <v>35</v>
      </c>
      <c r="D54">
        <v>1</v>
      </c>
      <c r="J54">
        <f t="shared" si="3"/>
        <v>1</v>
      </c>
      <c r="K54">
        <f t="shared" si="4"/>
        <v>1</v>
      </c>
      <c r="L54">
        <f t="shared" si="5"/>
        <v>0</v>
      </c>
      <c r="M54" t="s">
        <v>35</v>
      </c>
    </row>
    <row r="55" spans="1:19" x14ac:dyDescent="0.2">
      <c r="J55">
        <f t="shared" si="3"/>
        <v>0</v>
      </c>
      <c r="K55">
        <f t="shared" si="4"/>
        <v>1</v>
      </c>
      <c r="L55">
        <f t="shared" si="5"/>
        <v>1</v>
      </c>
      <c r="M55" t="s">
        <v>74</v>
      </c>
      <c r="S55">
        <v>1</v>
      </c>
    </row>
    <row r="56" spans="1:19" x14ac:dyDescent="0.2">
      <c r="J56">
        <f t="shared" si="3"/>
        <v>0</v>
      </c>
      <c r="K56">
        <f t="shared" si="4"/>
        <v>1</v>
      </c>
      <c r="L56">
        <f t="shared" si="5"/>
        <v>1</v>
      </c>
      <c r="M56" t="s">
        <v>62</v>
      </c>
      <c r="P56">
        <v>1</v>
      </c>
    </row>
    <row r="57" spans="1:19" x14ac:dyDescent="0.2">
      <c r="J57">
        <f t="shared" si="3"/>
        <v>0</v>
      </c>
      <c r="K57">
        <f t="shared" si="4"/>
        <v>1</v>
      </c>
      <c r="L57">
        <f t="shared" si="5"/>
        <v>1</v>
      </c>
      <c r="M57" t="s">
        <v>53</v>
      </c>
      <c r="O57">
        <v>1</v>
      </c>
    </row>
    <row r="58" spans="1:19" x14ac:dyDescent="0.2">
      <c r="J58">
        <f t="shared" si="3"/>
        <v>0</v>
      </c>
      <c r="K58">
        <f t="shared" si="4"/>
        <v>1</v>
      </c>
      <c r="L58">
        <f t="shared" si="5"/>
        <v>1</v>
      </c>
      <c r="M58" t="s">
        <v>59</v>
      </c>
      <c r="P58">
        <v>1</v>
      </c>
    </row>
    <row r="59" spans="1:19" x14ac:dyDescent="0.2">
      <c r="A59" t="s">
        <v>6</v>
      </c>
      <c r="B59">
        <v>1</v>
      </c>
      <c r="J59">
        <f t="shared" si="3"/>
        <v>1</v>
      </c>
      <c r="K59">
        <f t="shared" si="4"/>
        <v>1</v>
      </c>
      <c r="L59">
        <f t="shared" si="5"/>
        <v>0</v>
      </c>
      <c r="M59" t="s">
        <v>6</v>
      </c>
    </row>
    <row r="60" spans="1:19" x14ac:dyDescent="0.2">
      <c r="A60" t="s">
        <v>39</v>
      </c>
      <c r="E60">
        <v>1</v>
      </c>
      <c r="J60">
        <f t="shared" si="3"/>
        <v>1</v>
      </c>
      <c r="K60">
        <f t="shared" si="4"/>
        <v>1</v>
      </c>
      <c r="L60">
        <f t="shared" si="5"/>
        <v>0</v>
      </c>
      <c r="M60" t="s">
        <v>39</v>
      </c>
    </row>
    <row r="61" spans="1:19" x14ac:dyDescent="0.2">
      <c r="J61">
        <f t="shared" si="3"/>
        <v>0</v>
      </c>
      <c r="K61">
        <f t="shared" si="4"/>
        <v>1</v>
      </c>
      <c r="L61">
        <f t="shared" si="5"/>
        <v>1</v>
      </c>
      <c r="M61" t="s">
        <v>68</v>
      </c>
      <c r="Q61">
        <v>1</v>
      </c>
    </row>
    <row r="62" spans="1:19" x14ac:dyDescent="0.2">
      <c r="A62" t="s">
        <v>11</v>
      </c>
      <c r="B62">
        <v>1</v>
      </c>
      <c r="J62">
        <f t="shared" si="3"/>
        <v>1</v>
      </c>
      <c r="K62">
        <f t="shared" si="4"/>
        <v>1</v>
      </c>
      <c r="L62">
        <f t="shared" si="5"/>
        <v>0</v>
      </c>
      <c r="M62" t="s">
        <v>11</v>
      </c>
    </row>
    <row r="63" spans="1:19" x14ac:dyDescent="0.2">
      <c r="A63" t="s">
        <v>31</v>
      </c>
      <c r="D63">
        <v>1</v>
      </c>
      <c r="J63">
        <f t="shared" si="3"/>
        <v>1</v>
      </c>
      <c r="K63">
        <f t="shared" si="4"/>
        <v>1</v>
      </c>
      <c r="L63">
        <f t="shared" si="5"/>
        <v>0</v>
      </c>
      <c r="M63" t="s">
        <v>31</v>
      </c>
    </row>
    <row r="64" spans="1:19" x14ac:dyDescent="0.2">
      <c r="J64">
        <f t="shared" si="3"/>
        <v>0</v>
      </c>
      <c r="K64">
        <f t="shared" si="4"/>
        <v>1</v>
      </c>
      <c r="L64">
        <f t="shared" si="5"/>
        <v>1</v>
      </c>
      <c r="M64" t="s">
        <v>73</v>
      </c>
      <c r="S64">
        <v>1</v>
      </c>
    </row>
    <row r="65" spans="1:19" x14ac:dyDescent="0.2">
      <c r="J65">
        <f t="shared" si="3"/>
        <v>0</v>
      </c>
      <c r="K65">
        <f t="shared" si="4"/>
        <v>1</v>
      </c>
      <c r="L65">
        <f t="shared" si="5"/>
        <v>1</v>
      </c>
      <c r="M65" t="s">
        <v>67</v>
      </c>
      <c r="Q65">
        <v>1</v>
      </c>
    </row>
    <row r="66" spans="1:19" x14ac:dyDescent="0.2">
      <c r="A66" t="s">
        <v>38</v>
      </c>
      <c r="E66">
        <v>1</v>
      </c>
      <c r="J66">
        <f t="shared" si="3"/>
        <v>1</v>
      </c>
      <c r="K66">
        <f t="shared" si="4"/>
        <v>1</v>
      </c>
      <c r="L66">
        <f t="shared" si="5"/>
        <v>0</v>
      </c>
      <c r="M66" t="s">
        <v>38</v>
      </c>
    </row>
    <row r="67" spans="1:19" x14ac:dyDescent="0.2">
      <c r="A67" t="s">
        <v>29</v>
      </c>
      <c r="C67">
        <v>1</v>
      </c>
      <c r="J67">
        <f t="shared" si="3"/>
        <v>1</v>
      </c>
      <c r="K67">
        <f t="shared" si="4"/>
        <v>1</v>
      </c>
      <c r="L67">
        <f t="shared" si="5"/>
        <v>0</v>
      </c>
      <c r="M67" t="s">
        <v>29</v>
      </c>
    </row>
    <row r="68" spans="1:19" x14ac:dyDescent="0.2">
      <c r="J68">
        <f>B68+C68+D68+E68+F68+G68+H68+I68</f>
        <v>0</v>
      </c>
      <c r="K68">
        <f t="shared" ref="K68:K81" si="6">J68+L68</f>
        <v>1</v>
      </c>
      <c r="L68">
        <f t="shared" ref="L68:L81" si="7">N68+O68+P68+Q68+R68+S68</f>
        <v>1</v>
      </c>
      <c r="M68" t="s">
        <v>66</v>
      </c>
      <c r="Q68">
        <v>1</v>
      </c>
    </row>
    <row r="69" spans="1:19" x14ac:dyDescent="0.2">
      <c r="A69" t="s">
        <v>19</v>
      </c>
      <c r="B69">
        <v>1</v>
      </c>
      <c r="J69">
        <f>B69+C69+D69+E69+F69+G69+H69+I69</f>
        <v>1</v>
      </c>
      <c r="K69">
        <f t="shared" si="6"/>
        <v>1</v>
      </c>
      <c r="L69">
        <f t="shared" si="7"/>
        <v>0</v>
      </c>
      <c r="M69" t="s">
        <v>19</v>
      </c>
    </row>
    <row r="70" spans="1:19" x14ac:dyDescent="0.2">
      <c r="J70">
        <f>B70+C70+D70+E70+F70+G70+H70+I70</f>
        <v>0</v>
      </c>
      <c r="K70">
        <f t="shared" si="6"/>
        <v>1</v>
      </c>
      <c r="L70">
        <f t="shared" si="7"/>
        <v>1</v>
      </c>
      <c r="M70" t="s">
        <v>75</v>
      </c>
      <c r="S70">
        <v>1</v>
      </c>
    </row>
    <row r="71" spans="1:19" x14ac:dyDescent="0.2">
      <c r="J71">
        <f>B71+C71+D71+E71+F71+G71+H71+I71</f>
        <v>0</v>
      </c>
      <c r="K71">
        <f t="shared" si="6"/>
        <v>1</v>
      </c>
      <c r="L71">
        <f t="shared" si="7"/>
        <v>1</v>
      </c>
      <c r="M71" t="s">
        <v>70</v>
      </c>
      <c r="R71">
        <v>1</v>
      </c>
    </row>
    <row r="72" spans="1:19" x14ac:dyDescent="0.2">
      <c r="A72" t="s">
        <v>37</v>
      </c>
      <c r="D72">
        <v>1</v>
      </c>
      <c r="J72">
        <f>B72+C72+D72+E72+F72+G72+H72+I72</f>
        <v>1</v>
      </c>
      <c r="K72">
        <f t="shared" si="6"/>
        <v>1</v>
      </c>
      <c r="L72">
        <f t="shared" si="7"/>
        <v>0</v>
      </c>
      <c r="M72" t="s">
        <v>37</v>
      </c>
    </row>
    <row r="73" spans="1:19" x14ac:dyDescent="0.2">
      <c r="J73">
        <f>B73+C73+D73+E73+F73+G73+H73+I73</f>
        <v>0</v>
      </c>
      <c r="K73">
        <f t="shared" si="6"/>
        <v>1</v>
      </c>
      <c r="L73">
        <f t="shared" si="7"/>
        <v>1</v>
      </c>
      <c r="M73" t="s">
        <v>56</v>
      </c>
      <c r="P73">
        <v>1</v>
      </c>
    </row>
    <row r="74" spans="1:19" x14ac:dyDescent="0.2">
      <c r="A74" t="s">
        <v>3</v>
      </c>
      <c r="B74">
        <v>1</v>
      </c>
      <c r="J74">
        <f>B74+C74+D74+E74+F74+G74+H74+I74</f>
        <v>1</v>
      </c>
      <c r="K74">
        <f t="shared" si="6"/>
        <v>1</v>
      </c>
      <c r="L74">
        <f t="shared" si="7"/>
        <v>0</v>
      </c>
      <c r="M74" t="s">
        <v>3</v>
      </c>
    </row>
    <row r="75" spans="1:19" x14ac:dyDescent="0.2">
      <c r="K75">
        <f t="shared" si="6"/>
        <v>1</v>
      </c>
      <c r="L75">
        <f t="shared" si="7"/>
        <v>1</v>
      </c>
      <c r="M75" t="s">
        <v>63</v>
      </c>
      <c r="P75">
        <v>1</v>
      </c>
    </row>
    <row r="76" spans="1:19" x14ac:dyDescent="0.2">
      <c r="K76">
        <f t="shared" si="6"/>
        <v>1</v>
      </c>
      <c r="L76">
        <f t="shared" si="7"/>
        <v>1</v>
      </c>
      <c r="M76" t="s">
        <v>72</v>
      </c>
      <c r="S76">
        <v>1</v>
      </c>
    </row>
    <row r="77" spans="1:19" x14ac:dyDescent="0.2">
      <c r="K77">
        <f t="shared" si="6"/>
        <v>1</v>
      </c>
      <c r="L77">
        <f t="shared" si="7"/>
        <v>1</v>
      </c>
      <c r="M77" t="s">
        <v>61</v>
      </c>
      <c r="P77">
        <v>1</v>
      </c>
    </row>
    <row r="78" spans="1:19" x14ac:dyDescent="0.2">
      <c r="K78">
        <f t="shared" si="6"/>
        <v>1</v>
      </c>
      <c r="L78">
        <f t="shared" si="7"/>
        <v>1</v>
      </c>
      <c r="M78" t="s">
        <v>58</v>
      </c>
      <c r="P78">
        <v>1</v>
      </c>
    </row>
    <row r="79" spans="1:19" x14ac:dyDescent="0.2">
      <c r="K79">
        <f t="shared" si="6"/>
        <v>1</v>
      </c>
      <c r="L79">
        <f t="shared" si="7"/>
        <v>1</v>
      </c>
      <c r="M79" t="s">
        <v>77</v>
      </c>
      <c r="S79">
        <v>1</v>
      </c>
    </row>
    <row r="80" spans="1:19" x14ac:dyDescent="0.2">
      <c r="K80">
        <f t="shared" si="6"/>
        <v>1</v>
      </c>
      <c r="L80">
        <f t="shared" si="7"/>
        <v>1</v>
      </c>
      <c r="M80" t="s">
        <v>60</v>
      </c>
      <c r="P80">
        <v>1</v>
      </c>
    </row>
    <row r="81" spans="10:19" x14ac:dyDescent="0.2">
      <c r="K81">
        <f t="shared" si="6"/>
        <v>1</v>
      </c>
      <c r="L81">
        <f t="shared" si="7"/>
        <v>1</v>
      </c>
      <c r="M81" t="s">
        <v>71</v>
      </c>
      <c r="S81">
        <v>1</v>
      </c>
    </row>
    <row r="83" spans="10:19" x14ac:dyDescent="0.2">
      <c r="J83">
        <f>SUM(J4:J81)</f>
        <v>146</v>
      </c>
      <c r="K83">
        <f>J83+L83</f>
        <v>244</v>
      </c>
      <c r="L83">
        <f>SUM(L4:L81)</f>
        <v>98</v>
      </c>
    </row>
  </sheetData>
  <sortState xmlns:xlrd2="http://schemas.microsoft.com/office/spreadsheetml/2017/richdata2" ref="A4:S81">
    <sortCondition descending="1" ref="K4:K81"/>
  </sortState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93DC-0BD7-2A42-82B3-9206B7DDDA3B}">
  <dimension ref="A3:C12"/>
  <sheetViews>
    <sheetView tabSelected="1" workbookViewId="0">
      <selection activeCell="C35" sqref="C35"/>
    </sheetView>
  </sheetViews>
  <sheetFormatPr baseColWidth="10" defaultRowHeight="16" x14ac:dyDescent="0.2"/>
  <cols>
    <col min="1" max="1" width="17" bestFit="1" customWidth="1"/>
    <col min="2" max="2" width="20.5" customWidth="1"/>
    <col min="3" max="3" width="19" customWidth="1"/>
  </cols>
  <sheetData>
    <row r="3" spans="1:3" x14ac:dyDescent="0.2">
      <c r="A3" t="s">
        <v>98</v>
      </c>
      <c r="B3" t="s">
        <v>99</v>
      </c>
      <c r="C3" t="s">
        <v>100</v>
      </c>
    </row>
    <row r="4" spans="1:3" x14ac:dyDescent="0.2">
      <c r="A4" t="s">
        <v>2</v>
      </c>
      <c r="B4">
        <v>7601</v>
      </c>
      <c r="C4">
        <v>559</v>
      </c>
    </row>
    <row r="5" spans="1:3" x14ac:dyDescent="0.2">
      <c r="A5" t="s">
        <v>22</v>
      </c>
      <c r="B5">
        <v>395</v>
      </c>
      <c r="C5">
        <v>1369</v>
      </c>
    </row>
    <row r="6" spans="1:3" x14ac:dyDescent="0.2">
      <c r="A6" t="s">
        <v>23</v>
      </c>
      <c r="B6">
        <v>1135</v>
      </c>
      <c r="C6">
        <v>3118</v>
      </c>
    </row>
    <row r="7" spans="1:3" x14ac:dyDescent="0.2">
      <c r="A7" t="s">
        <v>25</v>
      </c>
      <c r="B7">
        <v>143</v>
      </c>
      <c r="C7">
        <v>585</v>
      </c>
    </row>
    <row r="8" spans="1:3" x14ac:dyDescent="0.2">
      <c r="A8" t="s">
        <v>30</v>
      </c>
      <c r="B8">
        <v>1214</v>
      </c>
      <c r="C8">
        <v>600</v>
      </c>
    </row>
    <row r="9" spans="1:3" x14ac:dyDescent="0.2">
      <c r="A9" t="s">
        <v>42</v>
      </c>
      <c r="B9">
        <v>177</v>
      </c>
      <c r="C9">
        <v>1467</v>
      </c>
    </row>
    <row r="10" spans="1:3" x14ac:dyDescent="0.2">
      <c r="A10" t="s">
        <v>16</v>
      </c>
      <c r="B10">
        <v>1061</v>
      </c>
      <c r="C10">
        <v>530</v>
      </c>
    </row>
    <row r="11" spans="1:3" x14ac:dyDescent="0.2">
      <c r="A11" t="s">
        <v>44</v>
      </c>
      <c r="B11">
        <v>234</v>
      </c>
      <c r="C11">
        <v>6207</v>
      </c>
    </row>
    <row r="12" spans="1:3" x14ac:dyDescent="0.2">
      <c r="A12" t="s">
        <v>101</v>
      </c>
      <c r="B12" s="2">
        <v>56419</v>
      </c>
      <c r="C12" s="2">
        <v>42347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Anzahl_Artikel</vt:lpstr>
      <vt:lpstr>Anzahl_Woerter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Stiewe, Miriam</dc:creator>
  <cp:lastModifiedBy>Stiewe, Miriam</cp:lastModifiedBy>
  <dcterms:created xsi:type="dcterms:W3CDTF">2026-02-02T09:07:39Z</dcterms:created>
  <dcterms:modified xsi:type="dcterms:W3CDTF">2026-03-18T08:52:51Z</dcterms:modified>
</cp:coreProperties>
</file>